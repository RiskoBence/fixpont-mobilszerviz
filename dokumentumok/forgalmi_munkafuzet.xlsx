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 activeTab="1"/>
    <workbookView xWindow="480" yWindow="105" windowWidth="27795" windowHeight="12600" activeTab="1"/>
  </bookViews>
  <sheets>
    <sheet name="Adatok" sheetId="1" r:id="rId1"/>
    <sheet name="Összesítés" sheetId="2" r:id="rId2"/>
  </sheets>
  <calcPr calcId="144525"/>
</workbook>
</file>

<file path=xl/calcChain.xml><?xml version="1.0" encoding="utf-8"?>
<calcChain xmlns="http://schemas.openxmlformats.org/spreadsheetml/2006/main">
  <c r="C27" i="2" l="1"/>
  <c r="C25" i="2"/>
  <c r="C23" i="2"/>
  <c r="C21" i="2"/>
  <c r="C19" i="2"/>
  <c r="C17" i="2"/>
  <c r="C18" i="2"/>
  <c r="C20" i="2"/>
  <c r="C22" i="2"/>
  <c r="C24" i="2"/>
  <c r="C26" i="2"/>
  <c r="C16" i="2"/>
  <c r="C14" i="2" l="1"/>
  <c r="C13" i="2"/>
  <c r="C6" i="2"/>
  <c r="C10" i="2" l="1"/>
  <c r="D10" i="2" s="1"/>
  <c r="C8" i="2"/>
  <c r="D8" i="2" s="1"/>
  <c r="C11" i="2"/>
  <c r="C9" i="2"/>
  <c r="D9" i="2" s="1"/>
  <c r="C7" i="2"/>
  <c r="D7" i="2" s="1"/>
  <c r="C5" i="2"/>
  <c r="C4" i="2"/>
  <c r="C2" i="2"/>
  <c r="C3" i="2"/>
</calcChain>
</file>

<file path=xl/sharedStrings.xml><?xml version="1.0" encoding="utf-8"?>
<sst xmlns="http://schemas.openxmlformats.org/spreadsheetml/2006/main" count="56" uniqueCount="56">
  <si>
    <t>Hónap</t>
  </si>
  <si>
    <t>Bevétel (Ft)</t>
  </si>
  <si>
    <t>Kiadás (Ft)</t>
  </si>
  <si>
    <t>Jan</t>
  </si>
  <si>
    <t>Feb</t>
  </si>
  <si>
    <t>Már</t>
  </si>
  <si>
    <t>Ápr</t>
  </si>
  <si>
    <t>Máj</t>
  </si>
  <si>
    <t>Jún</t>
  </si>
  <si>
    <t>Júl</t>
  </si>
  <si>
    <t>Aug</t>
  </si>
  <si>
    <t>Szep</t>
  </si>
  <si>
    <t>Okt</t>
  </si>
  <si>
    <t>Nov</t>
  </si>
  <si>
    <t>Dec</t>
  </si>
  <si>
    <t>Éves bevétel</t>
  </si>
  <si>
    <t>Éves kiadás</t>
  </si>
  <si>
    <t>Éves eredmény</t>
  </si>
  <si>
    <t>Átlagos havi bevétel</t>
  </si>
  <si>
    <t>Legnagyobb havi bevétel</t>
  </si>
  <si>
    <t>Legkisebb havi bevétel</t>
  </si>
  <si>
    <t>1 500 000 Ft feletti bevételű hónapok száma</t>
  </si>
  <si>
    <t>Legnagyobb havi kiadás</t>
  </si>
  <si>
    <t>Legkisebb havi kiadás</t>
  </si>
  <si>
    <t>Átlagos havi kiadás</t>
  </si>
  <si>
    <t>Kiadási kategória</t>
  </si>
  <si>
    <t>Éves összeg (Ft)</t>
  </si>
  <si>
    <t>Alkatrészek</t>
  </si>
  <si>
    <t>Bérek és járulékok</t>
  </si>
  <si>
    <t>Bérleti díj</t>
  </si>
  <si>
    <t>Rezsi</t>
  </si>
  <si>
    <t>Marketing</t>
  </si>
  <si>
    <t>Egyéb</t>
  </si>
  <si>
    <t>Legnagyobb kiadási kategória</t>
  </si>
  <si>
    <t>Legkisebb kiadási kategória</t>
  </si>
  <si>
    <t>Javítás típusa</t>
  </si>
  <si>
    <t>Javítások száma (db)</t>
  </si>
  <si>
    <t>Kezdő ár (Ft)</t>
  </si>
  <si>
    <t>Kijelzőcsere</t>
  </si>
  <si>
    <t>Akkumulátorcsere</t>
  </si>
  <si>
    <t>Töltőcsatlakozó csere</t>
  </si>
  <si>
    <t>Hátlapcsere</t>
  </si>
  <si>
    <t>Szoftveres hibaelhárítás</t>
  </si>
  <si>
    <t>Vízkár-kezelés</t>
  </si>
  <si>
    <t>Kijelzőcserék százaléka</t>
  </si>
  <si>
    <t>Akkumulátorcserék százaléka</t>
  </si>
  <si>
    <t>Töltőcsatlakozó cserék százaléka</t>
  </si>
  <si>
    <t>Hátlapcserék százaléka</t>
  </si>
  <si>
    <t>Szoftveres hibaelhárítások százaléka</t>
  </si>
  <si>
    <t>Vízkár-kezelések százaléka</t>
  </si>
  <si>
    <t>Kijelzőcserék becsült bevétele</t>
  </si>
  <si>
    <t>Akkumulátorcserék becsült bevétele</t>
  </si>
  <si>
    <t>Töltőcsatlakozó cserék becsült bevétele</t>
  </si>
  <si>
    <t>Hátlapcserék becsült bevétele</t>
  </si>
  <si>
    <t>Szoftveres hibaelhárítások becsült bevétele</t>
  </si>
  <si>
    <t>Vízkár-kezelések becsült bevétele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</si>
</sst>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9" fontId="2" fillId="0" borderId="0" xfId="0" applyNumberFormat="1" applyFont="1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0" fontId="4" fillId="0" borderId="0" xfId="0" applyFont="1"/>
    <xf numFmtId="9" fontId="0" fillId="0" borderId="0" xfId="1" applyFont="1"/>
    <xf numFmtId="9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2AEE2"/>
      <color rgb="FF7EA2DA"/>
      <color rgb="FF6694D0"/>
      <color rgb="FF2E79BA"/>
      <color rgb="FF27578E"/>
      <color rgb="FF1F3864"/>
      <color rgb="FFC3C3C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>
                <a:solidFill>
                  <a:srgbClr val="1F3864"/>
                </a:solidFill>
              </a:rPr>
              <a:t>FixPont</a:t>
            </a:r>
            <a:r>
              <a:rPr lang="en-US" sz="1200" baseline="0">
                <a:solidFill>
                  <a:srgbClr val="1F3864"/>
                </a:solidFill>
              </a:rPr>
              <a:t> Mobilszervíz - Havi Bevétel &amp; Kiadás (2025)</a:t>
            </a:r>
            <a:endParaRPr lang="en-US" sz="1200">
              <a:solidFill>
                <a:srgbClr val="1F3864"/>
              </a:solidFill>
            </a:endParaRPr>
          </a:p>
        </c:rich>
      </c:tx>
      <c:layout>
        <c:manualLayout>
          <c:xMode val="edge"/>
          <c:yMode val="edge"/>
          <c:x val="0.11574594420647435"/>
          <c:y val="1.9253908518161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626640419947507"/>
          <c:y val="0.21195167420567523"/>
          <c:w val="0.61935936132983382"/>
          <c:h val="0.5993777096338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Adatok!$B$1</c:f>
              <c:strCache>
                <c:ptCount val="1"/>
                <c:pt idx="0">
                  <c:v>Bevétel (Ft)</c:v>
                </c:pt>
              </c:strCache>
            </c:strRef>
          </c:tx>
          <c:spPr>
            <a:solidFill>
              <a:srgbClr val="2E79BA"/>
            </a:solidFill>
          </c:spPr>
          <c:invertIfNegative val="0"/>
          <c:cat>
            <c:strRef>
              <c:f>Adatok!$A$2:$A$13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Már</c:v>
                </c:pt>
                <c:pt idx="3">
                  <c:v>Ápr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Szep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Adatok!$B$2:$B$13</c:f>
              <c:numCache>
                <c:formatCode>#,##0</c:formatCode>
                <c:ptCount val="12"/>
                <c:pt idx="0">
                  <c:v>1180000</c:v>
                </c:pt>
                <c:pt idx="1">
                  <c:v>1240000</c:v>
                </c:pt>
                <c:pt idx="2">
                  <c:v>1420000</c:v>
                </c:pt>
                <c:pt idx="3">
                  <c:v>1350000</c:v>
                </c:pt>
                <c:pt idx="4">
                  <c:v>1510000</c:v>
                </c:pt>
                <c:pt idx="5">
                  <c:v>1480000</c:v>
                </c:pt>
                <c:pt idx="6">
                  <c:v>1390000</c:v>
                </c:pt>
                <c:pt idx="7">
                  <c:v>1560000</c:v>
                </c:pt>
                <c:pt idx="8">
                  <c:v>1720000</c:v>
                </c:pt>
                <c:pt idx="9">
                  <c:v>1690000</c:v>
                </c:pt>
                <c:pt idx="10">
                  <c:v>1830000</c:v>
                </c:pt>
                <c:pt idx="11">
                  <c:v>2050000</c:v>
                </c:pt>
              </c:numCache>
            </c:numRef>
          </c:val>
        </c:ser>
        <c:ser>
          <c:idx val="1"/>
          <c:order val="1"/>
          <c:tx>
            <c:strRef>
              <c:f>Adatok!$C$1</c:f>
              <c:strCache>
                <c:ptCount val="1"/>
                <c:pt idx="0">
                  <c:v>Kiadás (Ft)</c:v>
                </c:pt>
              </c:strCache>
            </c:strRef>
          </c:tx>
          <c:spPr>
            <a:solidFill>
              <a:srgbClr val="C3C3C3"/>
            </a:solidFill>
          </c:spPr>
          <c:invertIfNegative val="0"/>
          <c:cat>
            <c:strRef>
              <c:f>Adatok!$A$2:$A$13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Már</c:v>
                </c:pt>
                <c:pt idx="3">
                  <c:v>Ápr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Szep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Adatok!$C$2:$C$13</c:f>
              <c:numCache>
                <c:formatCode>#,##0</c:formatCode>
                <c:ptCount val="12"/>
                <c:pt idx="0">
                  <c:v>1059000</c:v>
                </c:pt>
                <c:pt idx="1">
                  <c:v>1077000</c:v>
                </c:pt>
                <c:pt idx="2">
                  <c:v>1132000</c:v>
                </c:pt>
                <c:pt idx="3">
                  <c:v>1110000</c:v>
                </c:pt>
                <c:pt idx="4">
                  <c:v>1159000</c:v>
                </c:pt>
                <c:pt idx="5">
                  <c:v>1150000</c:v>
                </c:pt>
                <c:pt idx="6">
                  <c:v>1123000</c:v>
                </c:pt>
                <c:pt idx="7">
                  <c:v>1174000</c:v>
                </c:pt>
                <c:pt idx="8">
                  <c:v>1223000</c:v>
                </c:pt>
                <c:pt idx="9">
                  <c:v>1214000</c:v>
                </c:pt>
                <c:pt idx="10">
                  <c:v>1256000</c:v>
                </c:pt>
                <c:pt idx="11">
                  <c:v>1323000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62688"/>
        <c:axId val="167935296"/>
      </c:barChart>
      <c:catAx>
        <c:axId val="211762688"/>
        <c:scaling>
          <c:orientation val="minMax"/>
        </c:scaling>
        <c:delete val="0"/>
        <c:axPos val="b"/>
        <c:majorTickMark val="out"/>
        <c:minorTickMark val="none"/>
        <c:tickLblPos val="nextTo"/>
        <c:crossAx val="167935296"/>
        <c:crosses val="autoZero"/>
        <c:auto val="1"/>
        <c:lblAlgn val="ctr"/>
        <c:lblOffset val="100"/>
        <c:noMultiLvlLbl val="0"/>
      </c:catAx>
      <c:valAx>
        <c:axId val="1679352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762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solidFill>
                  <a:srgbClr val="1F3864"/>
                </a:solidFill>
                <a:effectLst/>
              </a:rPr>
              <a:t>FixPont Mobilszervíz - Évi Kiadás-megoszlás (2025)</a:t>
            </a:r>
            <a:endParaRPr lang="en-GB" sz="1200">
              <a:solidFill>
                <a:srgbClr val="1F3864"/>
              </a:solidFill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842139335784444"/>
          <c:y val="0.22387951386562896"/>
          <c:w val="0.31957658900624353"/>
          <c:h val="0.68742755586952242"/>
        </c:manualLayout>
      </c:layout>
      <c:doughnutChart>
        <c:varyColors val="1"/>
        <c:ser>
          <c:idx val="1"/>
          <c:order val="0"/>
          <c:tx>
            <c:strRef>
              <c:f>Adatok!$J$1</c:f>
              <c:strCache>
                <c:ptCount val="1"/>
                <c:pt idx="0">
                  <c:v>Éves összeg (Ft)</c:v>
                </c:pt>
              </c:strCache>
            </c:strRef>
          </c:tx>
          <c:dPt>
            <c:idx val="0"/>
            <c:bubble3D val="0"/>
            <c:spPr>
              <a:solidFill>
                <a:srgbClr val="1F3864"/>
              </a:solidFill>
            </c:spPr>
          </c:dPt>
          <c:dPt>
            <c:idx val="1"/>
            <c:bubble3D val="0"/>
            <c:spPr>
              <a:solidFill>
                <a:srgbClr val="27578E"/>
              </a:solidFill>
            </c:spPr>
          </c:dPt>
          <c:dPt>
            <c:idx val="2"/>
            <c:bubble3D val="0"/>
            <c:spPr>
              <a:solidFill>
                <a:srgbClr val="2E79BA"/>
              </a:solidFill>
            </c:spPr>
          </c:dPt>
          <c:dPt>
            <c:idx val="3"/>
            <c:bubble3D val="0"/>
            <c:spPr>
              <a:solidFill>
                <a:srgbClr val="6694D0"/>
              </a:solidFill>
            </c:spPr>
          </c:dPt>
          <c:dPt>
            <c:idx val="4"/>
            <c:bubble3D val="0"/>
            <c:spPr>
              <a:solidFill>
                <a:srgbClr val="7EA2DA"/>
              </a:solidFill>
            </c:spPr>
          </c:dPt>
          <c:dPt>
            <c:idx val="5"/>
            <c:bubble3D val="0"/>
            <c:spPr>
              <a:solidFill>
                <a:srgbClr val="92AEE2"/>
              </a:solidFill>
            </c:spPr>
          </c:dPt>
          <c:dLbls>
            <c:dLbl>
              <c:idx val="0"/>
              <c:layout>
                <c:manualLayout>
                  <c:x val="5.3932596993741366E-2"/>
                  <c:y val="-6.445117037235521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2.0973787719788309E-2"/>
                  <c:y val="9.667675555853283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5.6928852382282555E-2"/>
                  <c:y val="-1.93353511117065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3.2958809273953053E-2"/>
                  <c:y val="-7.73414044468262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1.7977532331247121E-2"/>
                  <c:y val="-9.023163852129727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2.9964913141623593E-3"/>
                  <c:y val="-9.023163852129727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multiLvlStrRef>
              <c:f>Adatok!$I$2:$J$7</c:f>
              <c:multiLvlStrCache>
                <c:ptCount val="6"/>
                <c:lvl>
                  <c:pt idx="0">
                    <c:v>5,600,000</c:v>
                  </c:pt>
                  <c:pt idx="1">
                    <c:v>4,800,000</c:v>
                  </c:pt>
                  <c:pt idx="2">
                    <c:v>1,920,000</c:v>
                  </c:pt>
                  <c:pt idx="3">
                    <c:v>540,000</c:v>
                  </c:pt>
                  <c:pt idx="4">
                    <c:v>480,000</c:v>
                  </c:pt>
                  <c:pt idx="5">
                    <c:v>660,000</c:v>
                  </c:pt>
                </c:lvl>
                <c:lvl>
                  <c:pt idx="0">
                    <c:v>Alkatrészek</c:v>
                  </c:pt>
                  <c:pt idx="1">
                    <c:v>Bérek és járulékok</c:v>
                  </c:pt>
                  <c:pt idx="2">
                    <c:v>Bérleti díj</c:v>
                  </c:pt>
                  <c:pt idx="3">
                    <c:v>Rezsi</c:v>
                  </c:pt>
                  <c:pt idx="4">
                    <c:v>Marketing</c:v>
                  </c:pt>
                  <c:pt idx="5">
                    <c:v>Egyéb</c:v>
                  </c:pt>
                </c:lvl>
              </c:multiLvlStrCache>
            </c:multiLvlStrRef>
          </c:cat>
          <c:val>
            <c:numRef>
              <c:f>Adatok!$J$2:$J$7</c:f>
              <c:numCache>
                <c:formatCode>#,##0</c:formatCode>
                <c:ptCount val="6"/>
                <c:pt idx="0">
                  <c:v>5600000</c:v>
                </c:pt>
                <c:pt idx="1">
                  <c:v>4800000</c:v>
                </c:pt>
                <c:pt idx="2">
                  <c:v>1920000</c:v>
                </c:pt>
                <c:pt idx="3">
                  <c:v>540000</c:v>
                </c:pt>
                <c:pt idx="4">
                  <c:v>480000</c:v>
                </c:pt>
                <c:pt idx="5">
                  <c:v>660000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</c:plotArea>
    <c:legend>
      <c:legendPos val="r"/>
      <c:layout>
        <c:manualLayout>
          <c:xMode val="edge"/>
          <c:yMode val="edge"/>
          <c:x val="0.55244933261360285"/>
          <c:y val="0.25017914380426332"/>
          <c:w val="0.42957313505514999"/>
          <c:h val="0.699278958875078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391951006124231E-2"/>
          <c:y val="0.14803258967629046"/>
          <c:w val="0.53010826771653541"/>
          <c:h val="0.6896912365121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Adatok!$E$2</c:f>
              <c:strCache>
                <c:ptCount val="1"/>
                <c:pt idx="0">
                  <c:v>Kijelzőcsere</c:v>
                </c:pt>
              </c:strCache>
            </c:strRef>
          </c:tx>
          <c:spPr>
            <a:solidFill>
              <a:srgbClr val="1F3864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Összesítés!$C$16</c:f>
              <c:numCache>
                <c:formatCode>0%</c:formatCode>
                <c:ptCount val="1"/>
                <c:pt idx="0">
                  <c:v>0.34</c:v>
                </c:pt>
              </c:numCache>
            </c:numRef>
          </c:val>
        </c:ser>
        <c:ser>
          <c:idx val="2"/>
          <c:order val="1"/>
          <c:tx>
            <c:strRef>
              <c:f>Adatok!$E$3</c:f>
              <c:strCache>
                <c:ptCount val="1"/>
                <c:pt idx="0">
                  <c:v>Akkumulátorcsere</c:v>
                </c:pt>
              </c:strCache>
            </c:strRef>
          </c:tx>
          <c:spPr>
            <a:solidFill>
              <a:srgbClr val="27578E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Összesítés!$C$18</c:f>
              <c:numCache>
                <c:formatCode>0%</c:formatCode>
                <c:ptCount val="1"/>
                <c:pt idx="0">
                  <c:v>0.26</c:v>
                </c:pt>
              </c:numCache>
            </c:numRef>
          </c:val>
        </c:ser>
        <c:ser>
          <c:idx val="4"/>
          <c:order val="2"/>
          <c:tx>
            <c:strRef>
              <c:f>Adatok!$E$4</c:f>
              <c:strCache>
                <c:ptCount val="1"/>
                <c:pt idx="0">
                  <c:v>Töltőcsatlakozó csere</c:v>
                </c:pt>
              </c:strCache>
            </c:strRef>
          </c:tx>
          <c:spPr>
            <a:solidFill>
              <a:srgbClr val="2E79BA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Összesítés!$C$20</c:f>
              <c:numCache>
                <c:formatCode>0%</c:formatCode>
                <c:ptCount val="1"/>
                <c:pt idx="0">
                  <c:v>0.14000000000000001</c:v>
                </c:pt>
              </c:numCache>
            </c:numRef>
          </c:val>
        </c:ser>
        <c:ser>
          <c:idx val="6"/>
          <c:order val="3"/>
          <c:tx>
            <c:strRef>
              <c:f>Adatok!$E$5</c:f>
              <c:strCache>
                <c:ptCount val="1"/>
                <c:pt idx="0">
                  <c:v>Hátlapcsere</c:v>
                </c:pt>
              </c:strCache>
            </c:strRef>
          </c:tx>
          <c:spPr>
            <a:solidFill>
              <a:srgbClr val="6694D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Összesítés!$C$22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</c:ser>
        <c:ser>
          <c:idx val="8"/>
          <c:order val="4"/>
          <c:tx>
            <c:strRef>
              <c:f>Adatok!$E$6</c:f>
              <c:strCache>
                <c:ptCount val="1"/>
                <c:pt idx="0">
                  <c:v>Szoftveres hibaelhárítás</c:v>
                </c:pt>
              </c:strCache>
            </c:strRef>
          </c:tx>
          <c:spPr>
            <a:solidFill>
              <a:srgbClr val="7EA2DA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Összesítés!$C$24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</c:ser>
        <c:ser>
          <c:idx val="10"/>
          <c:order val="5"/>
          <c:tx>
            <c:strRef>
              <c:f>Adatok!$E$7</c:f>
              <c:strCache>
                <c:ptCount val="1"/>
                <c:pt idx="0">
                  <c:v>Vízkár-kezelés</c:v>
                </c:pt>
              </c:strCache>
            </c:strRef>
          </c:tx>
          <c:spPr>
            <a:solidFill>
              <a:srgbClr val="92AEE2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Összesítés!$C$26</c:f>
              <c:numCache>
                <c:formatCode>0%</c:formatCode>
                <c:ptCount val="1"/>
                <c:pt idx="0">
                  <c:v>7.0000000000000007E-2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76384"/>
        <c:axId val="151132352"/>
      </c:barChart>
      <c:catAx>
        <c:axId val="151376384"/>
        <c:scaling>
          <c:orientation val="minMax"/>
        </c:scaling>
        <c:delete val="1"/>
        <c:axPos val="l"/>
        <c:majorTickMark val="out"/>
        <c:minorTickMark val="none"/>
        <c:tickLblPos val="nextTo"/>
        <c:crossAx val="151132352"/>
        <c:crosses val="autoZero"/>
        <c:auto val="1"/>
        <c:lblAlgn val="ctr"/>
        <c:lblOffset val="100"/>
        <c:noMultiLvlLbl val="0"/>
      </c:catAx>
      <c:valAx>
        <c:axId val="15113235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15137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750034556784553"/>
          <c:y val="0.12558636363636366"/>
          <c:w val="0.3286155094610364"/>
          <c:h val="0.74613080808080801"/>
        </c:manualLayout>
      </c:layout>
      <c:overlay val="0"/>
    </c:legend>
    <c:plotVisOnly val="1"/>
    <c:dispBlanksAs val="gap"/>
    <c:showDLblsOverMax val="0"/>
  </c:chart>
  <c:spPr>
    <a:ln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53577</xdr:colOff>
      <xdr:row>1</xdr:row>
      <xdr:rowOff>63103</xdr:rowOff>
    </xdr:from>
    <xdr:to>
      <xdr:col>11</xdr:col>
      <xdr:colOff>41673</xdr:colOff>
      <xdr:row>11</xdr:row>
      <xdr:rowOff>136922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59532</xdr:colOff>
      <xdr:row>12</xdr:row>
      <xdr:rowOff>41672</xdr:rowOff>
    </xdr:from>
    <xdr:to>
      <xdr:col>11</xdr:col>
      <xdr:colOff>47624</xdr:colOff>
      <xdr:row>22</xdr:row>
      <xdr:rowOff>116672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53578</xdr:colOff>
      <xdr:row>23</xdr:row>
      <xdr:rowOff>21433</xdr:rowOff>
    </xdr:from>
    <xdr:to>
      <xdr:col>11</xdr:col>
      <xdr:colOff>40246</xdr:colOff>
      <xdr:row>33</xdr:row>
      <xdr:rowOff>96433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0.19242</cdr:x>
      <cdr:y>0.48036</cdr:y>
    </cdr:from>
    <cdr:to>
      <cdr:x>0.40815</cdr:x>
      <cdr:y>0.71903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15577" y="946547"/>
          <a:ext cx="914400" cy="470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b="1">
              <a:solidFill>
                <a:srgbClr val="1F3864"/>
              </a:solidFill>
            </a:rPr>
            <a:t>14 000 000</a:t>
          </a:r>
        </a:p>
        <a:p xmlns:a="http://schemas.openxmlformats.org/drawingml/2006/main">
          <a:pPr algn="ctr"/>
          <a:r>
            <a:rPr lang="en-GB" sz="1100" b="1">
              <a:solidFill>
                <a:srgbClr val="1F3864"/>
              </a:solidFill>
            </a:rPr>
            <a:t>Ft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zoomScale="160" zoomScaleNormal="160" workbookViewId="0">
      <selection activeCell="E2" sqref="E2:E7"/>
    </sheetView>
    <sheetView workbookViewId="1"/>
  </sheetViews>
  <sheetFormatPr defaultRowHeight="15" x14ac:dyDescent="0.25"/>
  <cols>
    <col min="1" max="4" width="12.7109375" customWidth="1"/>
    <col min="5" max="5" width="20.7109375" customWidth="1"/>
    <col min="6" max="6" width="18.7109375" customWidth="1"/>
    <col min="7" max="8" width="12.7109375" customWidth="1"/>
    <col min="9" max="10" width="16.7109375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2"/>
      <c r="E1" s="8" t="s">
        <v>35</v>
      </c>
      <c r="F1" s="8" t="s">
        <v>36</v>
      </c>
      <c r="G1" s="8" t="s">
        <v>37</v>
      </c>
      <c r="H1" s="2"/>
      <c r="I1" s="8" t="s">
        <v>25</v>
      </c>
      <c r="J1" s="8" t="s">
        <v>26</v>
      </c>
    </row>
    <row r="2" spans="1:10" x14ac:dyDescent="0.25">
      <c r="A2" s="6" t="s">
        <v>3</v>
      </c>
      <c r="B2" s="7">
        <v>1180000</v>
      </c>
      <c r="C2" s="7">
        <v>1059000</v>
      </c>
      <c r="D2" s="3"/>
      <c r="E2" s="6" t="s">
        <v>38</v>
      </c>
      <c r="F2" s="7">
        <v>476</v>
      </c>
      <c r="G2" s="7">
        <v>18900</v>
      </c>
      <c r="H2" s="5"/>
      <c r="I2" s="6" t="s">
        <v>27</v>
      </c>
      <c r="J2" s="7">
        <v>5600000</v>
      </c>
    </row>
    <row r="3" spans="1:10" x14ac:dyDescent="0.25">
      <c r="A3" s="9" t="s">
        <v>4</v>
      </c>
      <c r="B3" s="10">
        <v>1240000</v>
      </c>
      <c r="C3" s="10">
        <v>1077000</v>
      </c>
      <c r="D3" s="3"/>
      <c r="E3" s="9" t="s">
        <v>39</v>
      </c>
      <c r="F3" s="10">
        <v>364</v>
      </c>
      <c r="G3" s="10">
        <v>9900</v>
      </c>
      <c r="H3" s="5"/>
      <c r="I3" s="9" t="s">
        <v>28</v>
      </c>
      <c r="J3" s="10">
        <v>4800000</v>
      </c>
    </row>
    <row r="4" spans="1:10" x14ac:dyDescent="0.25">
      <c r="A4" s="6" t="s">
        <v>5</v>
      </c>
      <c r="B4" s="7">
        <v>1420000</v>
      </c>
      <c r="C4" s="7">
        <v>1132000</v>
      </c>
      <c r="D4" s="3"/>
      <c r="E4" s="6" t="s">
        <v>40</v>
      </c>
      <c r="F4" s="7">
        <v>196</v>
      </c>
      <c r="G4" s="7">
        <v>8900</v>
      </c>
      <c r="H4" s="5"/>
      <c r="I4" s="6" t="s">
        <v>29</v>
      </c>
      <c r="J4" s="7">
        <v>1920000</v>
      </c>
    </row>
    <row r="5" spans="1:10" x14ac:dyDescent="0.25">
      <c r="A5" s="9" t="s">
        <v>6</v>
      </c>
      <c r="B5" s="10">
        <v>1350000</v>
      </c>
      <c r="C5" s="10">
        <v>1110000</v>
      </c>
      <c r="D5" s="3"/>
      <c r="E5" s="9" t="s">
        <v>41</v>
      </c>
      <c r="F5" s="10">
        <v>140</v>
      </c>
      <c r="G5" s="10">
        <v>11900</v>
      </c>
      <c r="H5" s="5"/>
      <c r="I5" s="9" t="s">
        <v>30</v>
      </c>
      <c r="J5" s="10">
        <v>540000</v>
      </c>
    </row>
    <row r="6" spans="1:10" x14ac:dyDescent="0.25">
      <c r="A6" s="6" t="s">
        <v>7</v>
      </c>
      <c r="B6" s="7">
        <v>1510000</v>
      </c>
      <c r="C6" s="7">
        <v>1159000</v>
      </c>
      <c r="D6" s="3"/>
      <c r="E6" s="6" t="s">
        <v>42</v>
      </c>
      <c r="F6" s="7">
        <v>126</v>
      </c>
      <c r="G6" s="7">
        <v>5900</v>
      </c>
      <c r="H6" s="5"/>
      <c r="I6" s="6" t="s">
        <v>31</v>
      </c>
      <c r="J6" s="7">
        <v>480000</v>
      </c>
    </row>
    <row r="7" spans="1:10" x14ac:dyDescent="0.25">
      <c r="A7" s="9" t="s">
        <v>8</v>
      </c>
      <c r="B7" s="10">
        <v>1480000</v>
      </c>
      <c r="C7" s="10">
        <v>1150000</v>
      </c>
      <c r="D7" s="3"/>
      <c r="E7" s="9" t="s">
        <v>43</v>
      </c>
      <c r="F7" s="10">
        <v>98</v>
      </c>
      <c r="G7" s="10">
        <v>12900</v>
      </c>
      <c r="H7" s="5"/>
      <c r="I7" s="9" t="s">
        <v>32</v>
      </c>
      <c r="J7" s="10">
        <v>660000</v>
      </c>
    </row>
    <row r="8" spans="1:10" x14ac:dyDescent="0.25">
      <c r="A8" s="6" t="s">
        <v>9</v>
      </c>
      <c r="B8" s="7">
        <v>1390000</v>
      </c>
      <c r="C8" s="7">
        <v>1123000</v>
      </c>
      <c r="D8" s="3"/>
      <c r="F8" s="2"/>
      <c r="G8" s="3"/>
      <c r="H8" s="5"/>
    </row>
    <row r="9" spans="1:10" x14ac:dyDescent="0.25">
      <c r="A9" s="9" t="s">
        <v>10</v>
      </c>
      <c r="B9" s="10">
        <v>1560000</v>
      </c>
      <c r="C9" s="10">
        <v>1174000</v>
      </c>
      <c r="D9" s="3"/>
    </row>
    <row r="10" spans="1:10" x14ac:dyDescent="0.25">
      <c r="A10" s="6" t="s">
        <v>11</v>
      </c>
      <c r="B10" s="7">
        <v>1720000</v>
      </c>
      <c r="C10" s="7">
        <v>1223000</v>
      </c>
      <c r="D10" s="3"/>
      <c r="E10" s="11"/>
      <c r="F10" s="14"/>
    </row>
    <row r="11" spans="1:10" x14ac:dyDescent="0.25">
      <c r="A11" s="9" t="s">
        <v>12</v>
      </c>
      <c r="B11" s="10">
        <v>1690000</v>
      </c>
      <c r="C11" s="10">
        <v>1214000</v>
      </c>
      <c r="D11" s="3"/>
      <c r="F11" s="14"/>
    </row>
    <row r="12" spans="1:10" x14ac:dyDescent="0.25">
      <c r="A12" s="6" t="s">
        <v>13</v>
      </c>
      <c r="B12" s="7">
        <v>1830000</v>
      </c>
      <c r="C12" s="7">
        <v>1256000</v>
      </c>
      <c r="D12" s="3"/>
      <c r="F12" s="14"/>
      <c r="H12" s="12"/>
    </row>
    <row r="13" spans="1:10" x14ac:dyDescent="0.25">
      <c r="A13" s="9" t="s">
        <v>14</v>
      </c>
      <c r="B13" s="10">
        <v>2050000</v>
      </c>
      <c r="C13" s="10">
        <v>1323000</v>
      </c>
      <c r="D13" s="3"/>
      <c r="F13" s="14"/>
      <c r="H13" s="12"/>
    </row>
    <row r="14" spans="1:10" x14ac:dyDescent="0.25">
      <c r="A14" s="2"/>
      <c r="B14" s="3"/>
      <c r="C14" s="3"/>
      <c r="D14" s="3"/>
      <c r="F14" s="14"/>
      <c r="H14" s="12"/>
    </row>
    <row r="15" spans="1:10" x14ac:dyDescent="0.25">
      <c r="F15" s="14"/>
      <c r="H15" s="12"/>
    </row>
    <row r="16" spans="1:10" x14ac:dyDescent="0.25">
      <c r="H16" s="12"/>
    </row>
    <row r="17" spans="8:8" x14ac:dyDescent="0.25">
      <c r="H17" s="12"/>
    </row>
    <row r="18" spans="8:8" x14ac:dyDescent="0.25">
      <c r="H18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tabSelected="1" topLeftCell="A10" zoomScale="160" zoomScaleNormal="160" workbookViewId="0">
      <selection activeCell="D16" sqref="D16"/>
    </sheetView>
    <sheetView tabSelected="1" workbookViewId="1"/>
  </sheetViews>
  <sheetFormatPr defaultRowHeight="15" x14ac:dyDescent="0.25"/>
  <cols>
    <col min="1" max="1" width="12.7109375" customWidth="1"/>
    <col min="2" max="2" width="40.7109375" customWidth="1"/>
    <col min="3" max="4" width="12.7109375" customWidth="1"/>
  </cols>
  <sheetData>
    <row r="2" spans="2:4" x14ac:dyDescent="0.25">
      <c r="B2" t="s">
        <v>15</v>
      </c>
      <c r="C2" s="1">
        <f>SUM(Adatok!B2:B13)</f>
        <v>18420000</v>
      </c>
    </row>
    <row r="3" spans="2:4" x14ac:dyDescent="0.25">
      <c r="B3" t="s">
        <v>16</v>
      </c>
      <c r="C3" s="1">
        <f>SUM(Adatok!C2:C13)</f>
        <v>14000000</v>
      </c>
    </row>
    <row r="4" spans="2:4" x14ac:dyDescent="0.25">
      <c r="B4" t="s">
        <v>17</v>
      </c>
      <c r="C4" s="1">
        <f>SUM(Adatok!B2:B13)-SUM(Adatok!C2:C13)</f>
        <v>4420000</v>
      </c>
    </row>
    <row r="5" spans="2:4" x14ac:dyDescent="0.25">
      <c r="B5" t="s">
        <v>18</v>
      </c>
      <c r="C5" s="1">
        <f>AVERAGE(Adatok!B2:B13)</f>
        <v>1535000</v>
      </c>
    </row>
    <row r="6" spans="2:4" x14ac:dyDescent="0.25">
      <c r="B6" t="s">
        <v>24</v>
      </c>
      <c r="C6" s="4">
        <f>AVERAGE(Adatok!C2:C13)</f>
        <v>1166666.6666666667</v>
      </c>
    </row>
    <row r="7" spans="2:4" x14ac:dyDescent="0.25">
      <c r="B7" t="s">
        <v>19</v>
      </c>
      <c r="C7" s="1">
        <f>MAX(Adatok!B2:B13)</f>
        <v>2050000</v>
      </c>
      <c r="D7" t="str">
        <f>INDEX(Adatok!A2:A13,MATCH(C7,Adatok!B2:B13,0),1)</f>
        <v>Dec</v>
      </c>
    </row>
    <row r="8" spans="2:4" x14ac:dyDescent="0.25">
      <c r="B8" t="s">
        <v>22</v>
      </c>
      <c r="C8" s="1">
        <f>MAX(Adatok!C2:C13)</f>
        <v>1323000</v>
      </c>
      <c r="D8" t="str">
        <f>INDEX(Adatok!A2:A13,MATCH(C8,Adatok!C2:C13,0),1)</f>
        <v>Dec</v>
      </c>
    </row>
    <row r="9" spans="2:4" x14ac:dyDescent="0.25">
      <c r="B9" t="s">
        <v>20</v>
      </c>
      <c r="C9" s="1">
        <f>MIN(Adatok!B2:B13)</f>
        <v>1180000</v>
      </c>
      <c r="D9" t="str">
        <f>INDEX(Adatok!A2:A13,MATCH(C9,Adatok!B2:B13,0),1)</f>
        <v>Jan</v>
      </c>
    </row>
    <row r="10" spans="2:4" x14ac:dyDescent="0.25">
      <c r="B10" t="s">
        <v>23</v>
      </c>
      <c r="C10" s="1">
        <f>MIN(Adatok!C2:C13)</f>
        <v>1059000</v>
      </c>
      <c r="D10" t="str">
        <f>INDEX(Adatok!A2:A13,MATCH(C10,Adatok!C2:C13,0),1)</f>
        <v>Jan</v>
      </c>
    </row>
    <row r="11" spans="2:4" x14ac:dyDescent="0.25">
      <c r="B11" t="s">
        <v>21</v>
      </c>
      <c r="C11">
        <f>COUNTIF(Adatok!B2:B13,"&gt;1500000")</f>
        <v>6</v>
      </c>
    </row>
    <row r="13" spans="2:4" x14ac:dyDescent="0.25">
      <c r="B13" t="s">
        <v>33</v>
      </c>
      <c r="C13" t="str">
        <f>INDEX(Adatok!I2:J7,MATCH(MAX(Adatok!J2:J7),Adatok!J2:J7,0),1)</f>
        <v>Alkatrészek</v>
      </c>
    </row>
    <row r="14" spans="2:4" x14ac:dyDescent="0.25">
      <c r="B14" t="s">
        <v>34</v>
      </c>
      <c r="C14" s="1" t="str">
        <f>INDEX(Adatok!I2:J7,MATCH(MIN(Adatok!J2:J7),Adatok!J2:J7,0),1)</f>
        <v>Marketing</v>
      </c>
    </row>
    <row r="16" spans="2:4" x14ac:dyDescent="0.25">
      <c r="B16" t="s">
        <v>44</v>
      </c>
      <c r="C16" s="12">
        <f>Adatok!F2/SUM(Adatok!$F$2:$F$7)</f>
        <v>0.34</v>
      </c>
      <c r="D16" s="1"/>
    </row>
    <row r="17" spans="2:3" x14ac:dyDescent="0.25">
      <c r="B17" t="s">
        <v>50</v>
      </c>
      <c r="C17" s="1">
        <f>Adatok!F2*Adatok!G2</f>
        <v>8996400</v>
      </c>
    </row>
    <row r="18" spans="2:3" x14ac:dyDescent="0.25">
      <c r="B18" t="s">
        <v>45</v>
      </c>
      <c r="C18" s="12">
        <f>Adatok!F3/SUM(Adatok!$F$2:$F$7)</f>
        <v>0.26</v>
      </c>
    </row>
    <row r="19" spans="2:3" x14ac:dyDescent="0.25">
      <c r="B19" t="s">
        <v>51</v>
      </c>
      <c r="C19" s="1">
        <f>Adatok!F3*Adatok!G3</f>
        <v>3603600</v>
      </c>
    </row>
    <row r="20" spans="2:3" x14ac:dyDescent="0.25">
      <c r="B20" t="s">
        <v>46</v>
      </c>
      <c r="C20" s="12">
        <f>Adatok!F4/SUM(Adatok!$F$2:$F$7)</f>
        <v>0.14000000000000001</v>
      </c>
    </row>
    <row r="21" spans="2:3" x14ac:dyDescent="0.25">
      <c r="B21" t="s">
        <v>52</v>
      </c>
      <c r="C21" s="1">
        <f>Adatok!F4*Adatok!G4</f>
        <v>1744400</v>
      </c>
    </row>
    <row r="22" spans="2:3" x14ac:dyDescent="0.25">
      <c r="B22" t="s">
        <v>47</v>
      </c>
      <c r="C22" s="12">
        <f>Adatok!F5/SUM(Adatok!$F$2:$F$7)</f>
        <v>0.1</v>
      </c>
    </row>
    <row r="23" spans="2:3" x14ac:dyDescent="0.25">
      <c r="B23" t="s">
        <v>53</v>
      </c>
      <c r="C23" s="1">
        <f>Adatok!F5*Adatok!G5</f>
        <v>1666000</v>
      </c>
    </row>
    <row r="24" spans="2:3" x14ac:dyDescent="0.25">
      <c r="B24" t="s">
        <v>48</v>
      </c>
      <c r="C24" s="12">
        <f>Adatok!F6/SUM(Adatok!$F$2:$F$7)</f>
        <v>0.09</v>
      </c>
    </row>
    <row r="25" spans="2:3" x14ac:dyDescent="0.25">
      <c r="B25" t="s">
        <v>54</v>
      </c>
      <c r="C25" s="1">
        <f>Adatok!F6*Adatok!G6</f>
        <v>743400</v>
      </c>
    </row>
    <row r="26" spans="2:3" x14ac:dyDescent="0.25">
      <c r="B26" t="s">
        <v>49</v>
      </c>
      <c r="C26" s="12">
        <f>Adatok!F7/SUM(Adatok!$F$2:$F$7)</f>
        <v>7.0000000000000007E-2</v>
      </c>
    </row>
    <row r="27" spans="2:3" x14ac:dyDescent="0.25">
      <c r="B27" t="s">
        <v>55</v>
      </c>
      <c r="C27" s="1">
        <f>Adatok!F7*Adatok!G7</f>
        <v>1264200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Adatok</vt:lpstr>
      <vt:lpstr>Összesítés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Arnold</cp:lastModifiedBy>
  <dcterms:created xsi:type="dcterms:W3CDTF">2026-10-24T19:16:22Z</dcterms:created>
  <dcterms:modified xsi:type="dcterms:W3CDTF">2026-10-25T13:02:13Z</dcterms:modified>
</cp:coreProperties>
</file>